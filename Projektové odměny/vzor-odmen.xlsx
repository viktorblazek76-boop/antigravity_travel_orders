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vikbla\Downloads\"/>
    </mc:Choice>
  </mc:AlternateContent>
  <xr:revisionPtr revIDLastSave="0" documentId="13_ncr:1_{394757C0-85B8-406E-B6A7-D74644088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C25" i="2" s="1"/>
  <c r="I26" i="2"/>
  <c r="H26" i="2"/>
  <c r="G26" i="2"/>
  <c r="E26" i="2"/>
  <c r="D26" i="2"/>
  <c r="F24" i="2"/>
  <c r="C24" i="2" s="1"/>
  <c r="F23" i="2"/>
  <c r="C23" i="2" s="1"/>
  <c r="F22" i="2"/>
  <c r="C22" i="2" s="1"/>
  <c r="F21" i="2"/>
  <c r="C21" i="2" s="1"/>
  <c r="F20" i="2"/>
  <c r="C20" i="2" s="1"/>
  <c r="F19" i="2"/>
  <c r="C19" i="2" s="1"/>
  <c r="F18" i="2"/>
  <c r="C18" i="2" s="1"/>
  <c r="F17" i="2"/>
  <c r="C17" i="2" s="1"/>
  <c r="F16" i="2"/>
  <c r="C16" i="2" s="1"/>
  <c r="F26" i="2" l="1"/>
  <c r="B11" i="2" s="1"/>
  <c r="C12" i="2" s="1"/>
  <c r="C26" i="2"/>
  <c r="B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Pondělíček</author>
  </authors>
  <commentList>
    <comment ref="E26" authorId="0" shapeId="0" xr:uid="{C648D358-3614-4160-9FE4-F39101EB47FA}">
      <text>
        <r>
          <rPr>
            <sz val="9"/>
            <color indexed="81"/>
            <rFont val="Tahoma"/>
            <family val="2"/>
            <charset val="238"/>
          </rPr>
          <t>Kolik procent bylo rozděleno z PP - Bonus</t>
        </r>
      </text>
    </comment>
  </commentList>
</comments>
</file>

<file path=xl/sharedStrings.xml><?xml version="1.0" encoding="utf-8"?>
<sst xmlns="http://schemas.openxmlformats.org/spreadsheetml/2006/main" count="44" uniqueCount="37">
  <si>
    <t>Stanovení Projektových prémií</t>
  </si>
  <si>
    <t>Název Projektu:</t>
  </si>
  <si>
    <t>Projektová prémie - Bonus</t>
  </si>
  <si>
    <t>Projektová prémie - Tým</t>
  </si>
  <si>
    <t>Celkem na projekt:</t>
  </si>
  <si>
    <t>Jméno člena týmu</t>
  </si>
  <si>
    <t>Role v projektu</t>
  </si>
  <si>
    <t>Projektová prémie celkem</t>
  </si>
  <si>
    <t xml:space="preserve">Podíl členů týmu na úspěchu projektu </t>
  </si>
  <si>
    <t>Projektová prémie - Bonus celkem</t>
  </si>
  <si>
    <t>Vedoucí projektu</t>
  </si>
  <si>
    <t>N/A</t>
  </si>
  <si>
    <t>Architekt řešení</t>
  </si>
  <si>
    <t>Konzultant</t>
  </si>
  <si>
    <t>Vedoucí programátor</t>
  </si>
  <si>
    <t>Kontrolní součty</t>
  </si>
  <si>
    <t>Robert Štikar</t>
  </si>
  <si>
    <t>Libor Štejdýř</t>
  </si>
  <si>
    <t>Čestmír Peřina</t>
  </si>
  <si>
    <t>Martin Smutný</t>
  </si>
  <si>
    <t>Ivo Jedinečný</t>
  </si>
  <si>
    <t>Josef Kučera</t>
  </si>
  <si>
    <t>David Exl</t>
  </si>
  <si>
    <t>ANA D365FO pro Ferona a.s.</t>
  </si>
  <si>
    <t>Radovan Formánek</t>
  </si>
  <si>
    <t>FRO003</t>
  </si>
  <si>
    <t>Kateřina Dočkalová</t>
  </si>
  <si>
    <t>Fáze</t>
  </si>
  <si>
    <t>Datum fakturace dle smlouvy</t>
  </si>
  <si>
    <t>Částka k fakturaci</t>
  </si>
  <si>
    <t>Poznámka:</t>
  </si>
  <si>
    <t xml:space="preserve">Fáze1 Produkt
10.8.22
</t>
  </si>
  <si>
    <t xml:space="preserve">Fáze2 Produkt
30.9.22
</t>
  </si>
  <si>
    <t>Fáze3 Produkt
10.12.22</t>
  </si>
  <si>
    <t>Záloha k datu schválení PP:</t>
  </si>
  <si>
    <t>Číslo projektu</t>
  </si>
  <si>
    <t>Jiří Švec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</si>
</sst>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Kč&quot;_-;\-* #,##0\ &quot;Kč&quot;_-;_-* &quot;-&quot;\ &quot;Kč&quot;_-;_-@_-"/>
    <numFmt numFmtId="165" formatCode="_-* #,##0.00\ &quot;Kč&quot;_-;\-* #,##0.00\ &quot;Kč&quot;_-;_-* &quot;-&quot;??\ &quot;Kč&quot;_-;_-@_-"/>
    <numFmt numFmtId="166" formatCode="_-* #,##0.00\ _K_č_-;\-* #,##0.00\ _K_č_-;_-* &quot;-&quot;??\ _K_č_-;_-@_-"/>
    <numFmt numFmtId="167" formatCode="#,##0_ ;\-#,##0\ "/>
    <numFmt numFmtId="168" formatCode="#,##0\ &quot;Kč&quot;"/>
  </numFmts>
  <fonts count="12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Arial CE"/>
      <charset val="238"/>
    </font>
    <font>
      <sz val="9"/>
      <color indexed="81"/>
      <name val="Tahoma"/>
      <family val="2"/>
      <charset val="238"/>
    </font>
    <font>
      <i/>
      <sz val="10"/>
      <name val="Arial CE"/>
      <charset val="238"/>
    </font>
    <font>
      <b/>
      <sz val="11"/>
      <name val="Arial CE"/>
      <family val="2"/>
      <charset val="238"/>
    </font>
    <font>
      <b/>
      <sz val="11"/>
      <name val="Arial CE"/>
      <charset val="238"/>
    </font>
    <font>
      <b/>
      <i/>
      <sz val="10"/>
      <name val="Arial CE"/>
      <charset val="238"/>
    </font>
    <font>
      <i/>
      <sz val="10"/>
      <color rgb="FFFF0000"/>
      <name val="Arial CE"/>
      <charset val="238"/>
    </font>
    <font>
      <sz val="8"/>
      <name val="Arial CE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5">
    <xf numFmtId="0" fontId="0" fillId="0" borderId="0" xfId="0"/>
    <xf numFmtId="166" fontId="0" fillId="0" borderId="0" xfId="1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9" fontId="0" fillId="0" borderId="3" xfId="2" applyFont="1" applyFill="1" applyBorder="1" applyAlignment="1" applyProtection="1">
      <alignment horizontal="center"/>
      <protection locked="0"/>
    </xf>
    <xf numFmtId="165" fontId="4" fillId="0" borderId="0" xfId="3" applyFont="1" applyFill="1" applyBorder="1"/>
    <xf numFmtId="165" fontId="7" fillId="0" borderId="0" xfId="3" applyFont="1" applyFill="1" applyBorder="1"/>
    <xf numFmtId="167" fontId="2" fillId="0" borderId="0" xfId="1" applyNumberFormat="1" applyFont="1" applyFill="1"/>
    <xf numFmtId="166" fontId="0" fillId="0" borderId="0" xfId="1" applyFont="1" applyFill="1"/>
    <xf numFmtId="0" fontId="0" fillId="0" borderId="3" xfId="0" applyBorder="1" applyProtection="1">
      <protection locked="0"/>
    </xf>
    <xf numFmtId="164" fontId="0" fillId="0" borderId="3" xfId="3" applyNumberFormat="1" applyFont="1" applyFill="1" applyBorder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9" fontId="6" fillId="6" borderId="3" xfId="0" applyNumberFormat="1" applyFont="1" applyFill="1" applyBorder="1" applyAlignment="1">
      <alignment horizontal="center"/>
    </xf>
    <xf numFmtId="0" fontId="6" fillId="6" borderId="3" xfId="0" applyFont="1" applyFill="1" applyBorder="1"/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8" fontId="0" fillId="4" borderId="3" xfId="3" applyNumberFormat="1" applyFont="1" applyFill="1" applyBorder="1" applyProtection="1"/>
    <xf numFmtId="0" fontId="4" fillId="0" borderId="4" xfId="0" applyFont="1" applyBorder="1"/>
    <xf numFmtId="0" fontId="4" fillId="3" borderId="3" xfId="0" applyFont="1" applyFill="1" applyBorder="1"/>
    <xf numFmtId="0" fontId="4" fillId="5" borderId="3" xfId="0" applyFont="1" applyFill="1" applyBorder="1"/>
    <xf numFmtId="0" fontId="7" fillId="3" borderId="3" xfId="0" applyFont="1" applyFill="1" applyBorder="1"/>
    <xf numFmtId="0" fontId="0" fillId="0" borderId="3" xfId="0" applyBorder="1"/>
    <xf numFmtId="0" fontId="0" fillId="0" borderId="3" xfId="0" applyBorder="1" applyAlignment="1" applyProtection="1">
      <alignment horizontal="center" wrapText="1"/>
      <protection locked="0"/>
    </xf>
    <xf numFmtId="0" fontId="9" fillId="6" borderId="3" xfId="0" applyFont="1" applyFill="1" applyBorder="1"/>
    <xf numFmtId="168" fontId="7" fillId="3" borderId="3" xfId="3" applyNumberFormat="1" applyFont="1" applyFill="1" applyBorder="1"/>
    <xf numFmtId="0" fontId="7" fillId="4" borderId="5" xfId="0" applyFont="1" applyFill="1" applyBorder="1"/>
    <xf numFmtId="0" fontId="7" fillId="4" borderId="6" xfId="0" applyFont="1" applyFill="1" applyBorder="1"/>
    <xf numFmtId="168" fontId="4" fillId="4" borderId="5" xfId="3" applyNumberFormat="1" applyFont="1" applyFill="1" applyBorder="1"/>
    <xf numFmtId="168" fontId="6" fillId="6" borderId="3" xfId="0" applyNumberFormat="1" applyFont="1" applyFill="1" applyBorder="1"/>
    <xf numFmtId="168" fontId="0" fillId="0" borderId="0" xfId="0" applyNumberFormat="1"/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3" xfId="0" applyFont="1" applyBorder="1" applyAlignment="1">
      <alignment horizontal="center" vertical="center" wrapText="1"/>
    </xf>
    <xf numFmtId="168" fontId="6" fillId="0" borderId="3" xfId="3" applyNumberFormat="1" applyFont="1" applyFill="1" applyBorder="1" applyProtection="1">
      <protection locked="0"/>
    </xf>
    <xf numFmtId="168" fontId="6" fillId="0" borderId="3" xfId="0" applyNumberFormat="1" applyFont="1" applyBorder="1"/>
    <xf numFmtId="9" fontId="10" fillId="0" borderId="0" xfId="2" applyFont="1" applyFill="1"/>
    <xf numFmtId="168" fontId="4" fillId="0" borderId="3" xfId="3" applyNumberFormat="1" applyFont="1" applyFill="1" applyBorder="1" applyProtection="1">
      <protection locked="0"/>
    </xf>
    <xf numFmtId="164" fontId="0" fillId="0" borderId="3" xfId="3" applyNumberFormat="1" applyFont="1" applyFill="1" applyBorder="1" applyProtection="1"/>
    <xf numFmtId="168" fontId="0" fillId="0" borderId="3" xfId="3" applyNumberFormat="1" applyFont="1" applyFill="1" applyBorder="1" applyProtection="1"/>
    <xf numFmtId="0" fontId="4" fillId="8" borderId="0" xfId="0" applyFont="1" applyFill="1"/>
    <xf numFmtId="166" fontId="8" fillId="0" borderId="10" xfId="1" applyFont="1" applyFill="1" applyBorder="1" applyAlignment="1" applyProtection="1">
      <alignment horizontal="left"/>
      <protection locked="0"/>
    </xf>
    <xf numFmtId="166" fontId="8" fillId="0" borderId="11" xfId="1" applyFont="1" applyFill="1" applyBorder="1" applyAlignment="1" applyProtection="1">
      <alignment horizontal="left"/>
      <protection locked="0"/>
    </xf>
    <xf numFmtId="166" fontId="8" fillId="0" borderId="12" xfId="1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6" fontId="8" fillId="0" borderId="6" xfId="1" applyFont="1" applyFill="1" applyBorder="1" applyAlignment="1" applyProtection="1">
      <alignment horizontal="left"/>
      <protection locked="0"/>
    </xf>
    <xf numFmtId="166" fontId="8" fillId="0" borderId="8" xfId="1" applyFont="1" applyFill="1" applyBorder="1" applyAlignment="1" applyProtection="1">
      <alignment horizontal="left"/>
      <protection locked="0"/>
    </xf>
    <xf numFmtId="166" fontId="8" fillId="0" borderId="9" xfId="1" applyFont="1" applyFill="1" applyBorder="1" applyAlignment="1" applyProtection="1">
      <alignment horizontal="lef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tabSelected="1" topLeftCell="A9" zoomScaleNormal="100" workbookViewId="0">
      <pane xSplit="1" ySplit="1" topLeftCell="B10" activePane="bottomRight" state="frozen"/>
      <selection activeCell="A9" sqref="A9"/>
      <selection pane="topRight" activeCell="B9" sqref="B9"/>
      <selection pane="bottomLeft" activeCell="A10" sqref="A10"/>
      <selection pane="bottomRight" activeCell="A25" sqref="A25"/>
    </sheetView>
  </sheetViews>
  <sheetFormatPr defaultRowHeight="13.2" x14ac:dyDescent="0.25"/>
  <cols>
    <col min="1" max="1" width="26" bestFit="1" customWidth="1"/>
    <col min="2" max="2" width="20.77734375" customWidth="1"/>
    <col min="3" max="4" width="13.6640625" customWidth="1"/>
    <col min="5" max="5" width="10.44140625" customWidth="1"/>
    <col min="6" max="6" width="13.6640625" customWidth="1"/>
    <col min="7" max="7" width="13.109375" style="34" customWidth="1"/>
    <col min="8" max="8" width="12.6640625" style="35" bestFit="1" customWidth="1"/>
    <col min="9" max="9" width="12.77734375" style="35" bestFit="1" customWidth="1"/>
    <col min="10" max="11" width="12.21875" bestFit="1" customWidth="1"/>
  </cols>
  <sheetData>
    <row r="1" spans="1:9" ht="83.4" customHeight="1" x14ac:dyDescent="0.25">
      <c r="B1" s="49" t="s">
        <v>0</v>
      </c>
      <c r="C1" s="50"/>
      <c r="D1" s="50"/>
      <c r="E1" s="51"/>
      <c r="F1" s="2"/>
      <c r="G1" s="32"/>
      <c r="H1" s="33"/>
      <c r="I1" s="33"/>
    </row>
    <row r="2" spans="1:9" ht="13.65" customHeight="1" x14ac:dyDescent="0.25">
      <c r="B2" s="2"/>
      <c r="C2" s="2"/>
      <c r="D2" s="2"/>
      <c r="E2" s="2"/>
      <c r="F2" s="2"/>
      <c r="G2" s="32"/>
      <c r="H2" s="33"/>
      <c r="I2" s="33"/>
    </row>
    <row r="4" spans="1:9" x14ac:dyDescent="0.25">
      <c r="F4" s="31"/>
    </row>
    <row r="8" spans="1:9" ht="13.8" thickBot="1" x14ac:dyDescent="0.3">
      <c r="A8" s="45" t="s">
        <v>34</v>
      </c>
    </row>
    <row r="9" spans="1:9" ht="14.4" thickBot="1" x14ac:dyDescent="0.3">
      <c r="A9" s="28" t="s">
        <v>35</v>
      </c>
      <c r="B9" s="52" t="s">
        <v>25</v>
      </c>
      <c r="C9" s="53"/>
      <c r="D9" s="54"/>
    </row>
    <row r="10" spans="1:9" ht="13.8" x14ac:dyDescent="0.25">
      <c r="A10" s="27" t="s">
        <v>1</v>
      </c>
      <c r="B10" s="46" t="s">
        <v>23</v>
      </c>
      <c r="C10" s="47"/>
      <c r="D10" s="48"/>
    </row>
    <row r="11" spans="1:9" x14ac:dyDescent="0.25">
      <c r="A11" s="20" t="s">
        <v>2</v>
      </c>
      <c r="B11" s="29">
        <f>F26</f>
        <v>35000</v>
      </c>
      <c r="C11" s="3"/>
      <c r="D11" s="1"/>
      <c r="G11" s="34" t="s">
        <v>30</v>
      </c>
    </row>
    <row r="12" spans="1:9" x14ac:dyDescent="0.25">
      <c r="A12" s="21" t="s">
        <v>3</v>
      </c>
      <c r="B12" s="42">
        <v>20000</v>
      </c>
      <c r="C12" s="3">
        <f>IF(B12-D26&lt;0,B12-D26,IF(B12-D26=0,1,0))</f>
        <v>0</v>
      </c>
      <c r="D12" s="1"/>
      <c r="G12" s="34" t="s">
        <v>27</v>
      </c>
    </row>
    <row r="13" spans="1:9" ht="13.8" x14ac:dyDescent="0.25">
      <c r="A13" s="22" t="s">
        <v>4</v>
      </c>
      <c r="B13" s="26">
        <f>SUM(B11:B12)</f>
        <v>55000</v>
      </c>
      <c r="C13" s="6"/>
      <c r="D13" s="7"/>
      <c r="G13" s="34" t="s">
        <v>28</v>
      </c>
    </row>
    <row r="14" spans="1:9" x14ac:dyDescent="0.25">
      <c r="A14" s="19"/>
      <c r="B14" s="5"/>
      <c r="C14" s="5"/>
      <c r="D14" s="8"/>
      <c r="G14" s="34" t="s">
        <v>29</v>
      </c>
      <c r="H14" s="36"/>
      <c r="I14" s="37"/>
    </row>
    <row r="15" spans="1:9" ht="66" x14ac:dyDescent="0.25">
      <c r="A15" s="14" t="s">
        <v>5</v>
      </c>
      <c r="B15" s="14" t="s">
        <v>6</v>
      </c>
      <c r="C15" s="15" t="s">
        <v>7</v>
      </c>
      <c r="D15" s="16" t="s">
        <v>3</v>
      </c>
      <c r="E15" s="15" t="s">
        <v>8</v>
      </c>
      <c r="F15" s="17" t="s">
        <v>9</v>
      </c>
      <c r="G15" s="38" t="s">
        <v>31</v>
      </c>
      <c r="H15" s="38" t="s">
        <v>32</v>
      </c>
      <c r="I15" s="38" t="s">
        <v>33</v>
      </c>
    </row>
    <row r="16" spans="1:9" x14ac:dyDescent="0.25">
      <c r="A16" s="11" t="s">
        <v>16</v>
      </c>
      <c r="B16" s="23" t="s">
        <v>10</v>
      </c>
      <c r="C16" s="43">
        <f>D16+F16</f>
        <v>3000</v>
      </c>
      <c r="D16" s="10">
        <v>0</v>
      </c>
      <c r="E16" s="24" t="s">
        <v>11</v>
      </c>
      <c r="F16" s="44">
        <f t="shared" ref="F16:F25" si="0">SUM(G16:I16)</f>
        <v>3000</v>
      </c>
      <c r="G16" s="39">
        <v>1000</v>
      </c>
      <c r="H16" s="39">
        <v>1000</v>
      </c>
      <c r="I16" s="39">
        <v>1000</v>
      </c>
    </row>
    <row r="17" spans="1:10" x14ac:dyDescent="0.25">
      <c r="A17" s="11" t="s">
        <v>17</v>
      </c>
      <c r="B17" s="9" t="s">
        <v>12</v>
      </c>
      <c r="C17" s="43">
        <f t="shared" ref="C17:C25" si="1">D17+F17</f>
        <v>6000</v>
      </c>
      <c r="D17" s="10">
        <v>0</v>
      </c>
      <c r="E17" s="4">
        <v>0.2</v>
      </c>
      <c r="F17" s="44">
        <f t="shared" si="0"/>
        <v>6000</v>
      </c>
      <c r="G17" s="39">
        <v>2000</v>
      </c>
      <c r="H17" s="39">
        <v>2000</v>
      </c>
      <c r="I17" s="39">
        <v>2000</v>
      </c>
    </row>
    <row r="18" spans="1:10" x14ac:dyDescent="0.25">
      <c r="A18" s="11" t="s">
        <v>18</v>
      </c>
      <c r="B18" s="9" t="s">
        <v>12</v>
      </c>
      <c r="C18" s="43">
        <f t="shared" si="1"/>
        <v>3000</v>
      </c>
      <c r="D18" s="10">
        <v>0</v>
      </c>
      <c r="E18" s="4">
        <v>0.15</v>
      </c>
      <c r="F18" s="44">
        <f t="shared" si="0"/>
        <v>3000</v>
      </c>
      <c r="G18" s="39">
        <v>1000</v>
      </c>
      <c r="H18" s="39">
        <v>1000</v>
      </c>
      <c r="I18" s="39">
        <v>1000</v>
      </c>
    </row>
    <row r="19" spans="1:10" x14ac:dyDescent="0.25">
      <c r="A19" s="11" t="s">
        <v>21</v>
      </c>
      <c r="B19" s="9" t="s">
        <v>13</v>
      </c>
      <c r="C19" s="43">
        <f t="shared" si="1"/>
        <v>3000</v>
      </c>
      <c r="D19" s="10">
        <v>0</v>
      </c>
      <c r="E19" s="4">
        <v>0.1</v>
      </c>
      <c r="F19" s="44">
        <f t="shared" si="0"/>
        <v>3000</v>
      </c>
      <c r="G19" s="39">
        <v>1000</v>
      </c>
      <c r="H19" s="39">
        <v>1000</v>
      </c>
      <c r="I19" s="39">
        <v>1000</v>
      </c>
    </row>
    <row r="20" spans="1:10" x14ac:dyDescent="0.25">
      <c r="A20" s="11" t="s">
        <v>19</v>
      </c>
      <c r="B20" s="9" t="s">
        <v>13</v>
      </c>
      <c r="C20" s="43">
        <f t="shared" si="1"/>
        <v>3000</v>
      </c>
      <c r="D20" s="10">
        <v>0</v>
      </c>
      <c r="E20" s="4">
        <v>0.1</v>
      </c>
      <c r="F20" s="44">
        <f t="shared" si="0"/>
        <v>3000</v>
      </c>
      <c r="G20" s="39">
        <v>1000</v>
      </c>
      <c r="H20" s="39">
        <v>1000</v>
      </c>
      <c r="I20" s="39">
        <v>1000</v>
      </c>
    </row>
    <row r="21" spans="1:10" x14ac:dyDescent="0.25">
      <c r="A21" s="11" t="s">
        <v>20</v>
      </c>
      <c r="B21" s="9" t="s">
        <v>13</v>
      </c>
      <c r="C21" s="43">
        <f t="shared" si="1"/>
        <v>3000</v>
      </c>
      <c r="D21" s="10">
        <v>0</v>
      </c>
      <c r="E21" s="4">
        <v>0.05</v>
      </c>
      <c r="F21" s="44">
        <f t="shared" si="0"/>
        <v>3000</v>
      </c>
      <c r="G21" s="39">
        <v>1000</v>
      </c>
      <c r="H21" s="39">
        <v>1000</v>
      </c>
      <c r="I21" s="39">
        <v>1000</v>
      </c>
    </row>
    <row r="22" spans="1:10" x14ac:dyDescent="0.25">
      <c r="A22" s="11" t="s">
        <v>22</v>
      </c>
      <c r="B22" s="9" t="s">
        <v>13</v>
      </c>
      <c r="C22" s="43">
        <f t="shared" si="1"/>
        <v>3000</v>
      </c>
      <c r="D22" s="10">
        <v>0</v>
      </c>
      <c r="E22" s="4">
        <v>0.1</v>
      </c>
      <c r="F22" s="44">
        <f t="shared" si="0"/>
        <v>3000</v>
      </c>
      <c r="G22" s="39">
        <v>1000</v>
      </c>
      <c r="H22" s="39">
        <v>1000</v>
      </c>
      <c r="I22" s="39">
        <v>1000</v>
      </c>
    </row>
    <row r="23" spans="1:10" x14ac:dyDescent="0.25">
      <c r="A23" s="11" t="s">
        <v>24</v>
      </c>
      <c r="B23" s="9" t="s">
        <v>13</v>
      </c>
      <c r="C23" s="43">
        <f t="shared" si="1"/>
        <v>3000</v>
      </c>
      <c r="D23" s="10">
        <v>0</v>
      </c>
      <c r="E23" s="4">
        <v>0.1</v>
      </c>
      <c r="F23" s="44">
        <f t="shared" si="0"/>
        <v>3000</v>
      </c>
      <c r="G23" s="39">
        <v>1000</v>
      </c>
      <c r="H23" s="39">
        <v>1000</v>
      </c>
      <c r="I23" s="39">
        <v>1000</v>
      </c>
    </row>
    <row r="24" spans="1:10" x14ac:dyDescent="0.25">
      <c r="A24" s="11" t="s">
        <v>26</v>
      </c>
      <c r="B24" s="9" t="s">
        <v>13</v>
      </c>
      <c r="C24" s="43">
        <f t="shared" si="1"/>
        <v>3000</v>
      </c>
      <c r="D24" s="10">
        <v>0</v>
      </c>
      <c r="E24" s="4">
        <v>0.05</v>
      </c>
      <c r="F24" s="44">
        <f t="shared" si="0"/>
        <v>3000</v>
      </c>
      <c r="G24" s="39">
        <v>1000</v>
      </c>
      <c r="H24" s="39">
        <v>1000</v>
      </c>
      <c r="I24" s="39">
        <v>1000</v>
      </c>
    </row>
    <row r="25" spans="1:10" x14ac:dyDescent="0.25">
      <c r="A25" s="11" t="s">
        <v>36</v>
      </c>
      <c r="B25" s="9" t="s">
        <v>14</v>
      </c>
      <c r="C25" s="43">
        <f t="shared" si="1"/>
        <v>5000</v>
      </c>
      <c r="D25" s="10">
        <v>0</v>
      </c>
      <c r="E25" s="4">
        <v>0.15</v>
      </c>
      <c r="F25" s="44">
        <f t="shared" si="0"/>
        <v>5000</v>
      </c>
      <c r="G25" s="39">
        <v>3000</v>
      </c>
      <c r="H25" s="39">
        <v>0</v>
      </c>
      <c r="I25" s="39">
        <v>2000</v>
      </c>
    </row>
    <row r="26" spans="1:10" x14ac:dyDescent="0.25">
      <c r="A26" s="25" t="s">
        <v>15</v>
      </c>
      <c r="B26" s="13"/>
      <c r="C26" s="30">
        <f>SUM(C16:C25)</f>
        <v>35000</v>
      </c>
      <c r="D26" s="30">
        <f>SUM(D16:D25)</f>
        <v>0</v>
      </c>
      <c r="E26" s="12">
        <f>SUM(E17:E25)</f>
        <v>1</v>
      </c>
      <c r="F26" s="18">
        <f t="shared" ref="F26:I26" si="2">SUM(F16:F25)</f>
        <v>35000</v>
      </c>
      <c r="G26" s="40">
        <f t="shared" si="2"/>
        <v>13000</v>
      </c>
      <c r="H26" s="40">
        <f t="shared" si="2"/>
        <v>10000</v>
      </c>
      <c r="I26" s="40">
        <f t="shared" si="2"/>
        <v>12000</v>
      </c>
      <c r="J26" s="31"/>
    </row>
    <row r="28" spans="1:10" x14ac:dyDescent="0.25">
      <c r="H28" s="34"/>
      <c r="I28" s="34"/>
    </row>
    <row r="29" spans="1:10" x14ac:dyDescent="0.25">
      <c r="G29" s="41"/>
      <c r="H29" s="41"/>
      <c r="I29" s="41"/>
    </row>
  </sheetData>
  <mergeCells count="3">
    <mergeCell ref="B10:D10"/>
    <mergeCell ref="B1:E1"/>
    <mergeCell ref="B9:D9"/>
  </mergeCells>
  <phoneticPr fontId="11" type="noConversion"/>
  <conditionalFormatting sqref="C11">
    <cfRule type="iconSet" priority="2">
      <iconSet iconSet="3Symbols2" showValue="0" reverse="1">
        <cfvo type="percent" val="0"/>
        <cfvo type="num" val="1"/>
        <cfvo type="num" val="1"/>
      </iconSet>
    </cfRule>
  </conditionalFormatting>
  <conditionalFormatting sqref="C12">
    <cfRule type="iconSet" priority="1">
      <iconSet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promptTitle="Projektová role" prompt="Vyberte ze seznamu." sqref="B16:B25" xr:uid="{00000000-0002-0000-0000-000000000000}">
      <formula1>#REF!</formula1>
    </dataValidation>
  </dataValidations>
  <pageMargins left="0.7" right="0.7" top="0.78740157499999996" bottom="0.78740157499999996" header="0.3" footer="0.3"/>
  <pageSetup paperSize="9" scale="78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98D7334E96E34E8DC34EA6F0AE9026" ma:contentTypeVersion="8" ma:contentTypeDescription="Vytvoří nový dokument" ma:contentTypeScope="" ma:versionID="446861774c35395bb698991f4da54136">
  <xsd:schema xmlns:xsd="http://www.w3.org/2001/XMLSchema" xmlns:xs="http://www.w3.org/2001/XMLSchema" xmlns:p="http://schemas.microsoft.com/office/2006/metadata/properties" xmlns:ns3="0abc4f27-805e-47fc-9406-14ef55ddc987" targetNamespace="http://schemas.microsoft.com/office/2006/metadata/properties" ma:root="true" ma:fieldsID="598e386db127c7003c12d7266ae606a8" ns3:_="">
    <xsd:import namespace="0abc4f27-805e-47fc-9406-14ef55ddc9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c4f27-805e-47fc-9406-14ef55ddc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68D41B-2900-4A67-A9F0-E5649757EE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bc4f27-805e-47fc-9406-14ef55ddc9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B54A7-BD1C-4AA9-B7A2-A0A77E144E46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0abc4f27-805e-47fc-9406-14ef55ddc987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F8207DD-292C-4426-A35E-B2348515F1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cb6ece4-dab2-4b10-b914-53c367dc7590}" enabled="0" method="" siteId="{6cb6ece4-dab2-4b10-b914-53c367dc75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</vt:lpstr>
    </vt:vector>
  </TitlesOfParts>
  <Manager/>
  <Company>WEBCOM, a.s.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Příloha č. 1 - Žádost o projektovou prémii - vzor</dc:title>
  <dc:subject/>
  <dc:creator>Martin Pondělíček</dc:creator>
  <cp:keywords/>
  <dc:description/>
  <cp:lastModifiedBy>Blažek Viktor</cp:lastModifiedBy>
  <cp:revision/>
  <dcterms:created xsi:type="dcterms:W3CDTF">2001-01-15T14:47:37Z</dcterms:created>
  <dcterms:modified xsi:type="dcterms:W3CDTF">2026-02-09T15:31:57Z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0x010100BB98D7334E96E34E8DC34EA6F0AE9026</vt:lpwstr>
  </property>
  <property fmtid="{D5CDD505-2E9C-101B-9397-08002B2CF9AE}" pid="3" name="Rozdelovnik">
    <vt:lpwstr/>
  </property>
  <property fmtid="{D5CDD505-2E9C-101B-9397-08002B2CF9AE}" pid="4" name="OdpovednaOsoba">
    <vt:lpwstr>24;#Hlobilek Stanislav</vt:lpwstr>
  </property>
</Properties>
</file>